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rcot-my.sharepoint.com/personal/bill_kettlewell_ercot_com/Documents/Documents/Market Education/1.Production ILTCourses/Wholesale Markets 201/Delivery/2025/"/>
    </mc:Choice>
  </mc:AlternateContent>
  <xr:revisionPtr revIDLastSave="91" documentId="8_{5EAF4E51-2AE0-43B1-B0DA-1A996D9E17BA}" xr6:coauthVersionLast="47" xr6:coauthVersionMax="47" xr10:uidLastSave="{F59B6F1B-8D74-47E4-BC0B-583A03602E6D}"/>
  <bookViews>
    <workbookView xWindow="-120" yWindow="-18120" windowWidth="29040" windowHeight="17520" xr2:uid="{00000000-000D-0000-FFFF-FFFF00000000}"/>
  </bookViews>
  <sheets>
    <sheet name="RTC DAM Draft Scenario 1" sheetId="4" r:id="rId1"/>
    <sheet name="RTC DAM Draft Scenario 2" sheetId="5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" l="1"/>
  <c r="C9" i="4"/>
  <c r="C8" i="5"/>
  <c r="C9" i="5"/>
  <c r="F6" i="4"/>
  <c r="F5" i="4"/>
  <c r="F6" i="5"/>
  <c r="F5" i="5"/>
  <c r="M20" i="5"/>
  <c r="I20" i="5"/>
  <c r="M18" i="5"/>
  <c r="S5" i="5"/>
  <c r="S5" i="4"/>
  <c r="P5" i="4" l="1"/>
  <c r="P5" i="5"/>
  <c r="V5" i="5" s="1"/>
  <c r="I20" i="4"/>
  <c r="M18" i="4"/>
  <c r="M20" i="4"/>
  <c r="V5" i="4" l="1"/>
</calcChain>
</file>

<file path=xl/sharedStrings.xml><?xml version="1.0" encoding="utf-8"?>
<sst xmlns="http://schemas.openxmlformats.org/spreadsheetml/2006/main" count="112" uniqueCount="36">
  <si>
    <t>Determine Awards that Maximize the Solution Value 
subject to transmission constraints shown below</t>
  </si>
  <si>
    <t>AS Demand 
Curves</t>
  </si>
  <si>
    <t>Product</t>
  </si>
  <si>
    <t>MW</t>
  </si>
  <si>
    <t>Price</t>
  </si>
  <si>
    <t>Procured</t>
  </si>
  <si>
    <t>QSE</t>
  </si>
  <si>
    <t>Bid or Offer</t>
  </si>
  <si>
    <t>Location</t>
  </si>
  <si>
    <t>Awarded 
MW</t>
  </si>
  <si>
    <t>Bid-based Revenues</t>
  </si>
  <si>
    <t>–</t>
  </si>
  <si>
    <t>Offer-based Costs</t>
  </si>
  <si>
    <t xml:space="preserve"> =</t>
  </si>
  <si>
    <t>Value</t>
  </si>
  <si>
    <t>ECRS</t>
  </si>
  <si>
    <t>QSE 1</t>
  </si>
  <si>
    <t>Energy</t>
  </si>
  <si>
    <t>Offer</t>
  </si>
  <si>
    <t>A</t>
  </si>
  <si>
    <t>Non-Spin</t>
  </si>
  <si>
    <t>--</t>
  </si>
  <si>
    <t>QSE 2</t>
  </si>
  <si>
    <t>C</t>
  </si>
  <si>
    <r>
      <t>LMP</t>
    </r>
    <r>
      <rPr>
        <b/>
        <vertAlign val="subscript"/>
        <sz val="14"/>
        <color rgb="FF5B6770"/>
        <rFont val="Arial"/>
        <family val="2"/>
      </rPr>
      <t>A</t>
    </r>
  </si>
  <si>
    <r>
      <t>LMP</t>
    </r>
    <r>
      <rPr>
        <b/>
        <vertAlign val="subscript"/>
        <sz val="14"/>
        <color rgb="FF5B6770"/>
        <rFont val="Arial"/>
        <family val="2"/>
      </rPr>
      <t>B</t>
    </r>
  </si>
  <si>
    <r>
      <t>LMP</t>
    </r>
    <r>
      <rPr>
        <b/>
        <vertAlign val="subscript"/>
        <sz val="14"/>
        <color rgb="FF5B6770"/>
        <rFont val="Arial"/>
        <family val="2"/>
      </rPr>
      <t>C</t>
    </r>
  </si>
  <si>
    <r>
      <t>LMP</t>
    </r>
    <r>
      <rPr>
        <b/>
        <vertAlign val="subscript"/>
        <sz val="14"/>
        <color rgb="FF5B6770"/>
        <rFont val="Arial"/>
        <family val="2"/>
      </rPr>
      <t>D</t>
    </r>
  </si>
  <si>
    <r>
      <t>MCPC</t>
    </r>
    <r>
      <rPr>
        <b/>
        <vertAlign val="subscript"/>
        <sz val="14"/>
        <color rgb="FF5B6770"/>
        <rFont val="Arial"/>
        <family val="2"/>
      </rPr>
      <t>ECRS</t>
    </r>
  </si>
  <si>
    <r>
      <t>MCPC</t>
    </r>
    <r>
      <rPr>
        <b/>
        <vertAlign val="subscript"/>
        <sz val="14"/>
        <color rgb="FF5B6770"/>
        <rFont val="Arial"/>
        <family val="2"/>
      </rPr>
      <t>NS</t>
    </r>
  </si>
  <si>
    <t>QSE 3</t>
  </si>
  <si>
    <t>Bid</t>
  </si>
  <si>
    <t>D</t>
  </si>
  <si>
    <t>QSE 4</t>
  </si>
  <si>
    <t>PTP OBL</t>
  </si>
  <si>
    <t>A to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</si>
</sst>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</numFmts>
  <fonts count="10">
    <font>
      <sz val="11"/>
      <color theme="1"/>
      <name val="Calibri"/>
      <family val="2"/>
      <scheme val="minor"/>
    </font>
    <font>
      <b/>
      <sz val="14"/>
      <color rgb="FF5B6770"/>
      <name val="Arial"/>
    </font>
    <font>
      <b/>
      <sz val="14"/>
      <color rgb="FF5B6770"/>
      <name val="Arial"/>
      <family val="2"/>
    </font>
    <font>
      <b/>
      <i/>
      <sz val="14"/>
      <color theme="1"/>
      <name val="Arial"/>
      <family val="2"/>
    </font>
    <font>
      <sz val="11"/>
      <name val="Calibri"/>
      <family val="2"/>
      <scheme val="minor"/>
    </font>
    <font>
      <b/>
      <vertAlign val="subscript"/>
      <sz val="14"/>
      <color rgb="FF5B6770"/>
      <name val="Arial"/>
      <family val="2"/>
    </font>
    <font>
      <i/>
      <sz val="14"/>
      <color theme="1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5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D0CECE"/>
        <bgColor indexed="64"/>
      </patternFill>
    </fill>
    <fill>
      <patternFill patternType="solid">
        <fgColor rgb="FFCBE3EB"/>
        <bgColor indexed="64"/>
      </patternFill>
    </fill>
    <fill>
      <patternFill patternType="solid">
        <fgColor rgb="FFE7F2F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39">
    <border>
      <left/>
      <right/>
      <top/>
      <bottom/>
      <diagonal/>
    </border>
    <border>
      <left style="thick">
        <color rgb="FF5B6770"/>
      </left>
      <right style="medium">
        <color rgb="FFFFFFFF"/>
      </right>
      <top style="thick">
        <color rgb="FF5B6770"/>
      </top>
      <bottom style="thick">
        <color rgb="FF5B6770"/>
      </bottom>
      <diagonal/>
    </border>
    <border>
      <left style="medium">
        <color rgb="FFFFFFFF"/>
      </left>
      <right style="medium">
        <color rgb="FFFFFFFF"/>
      </right>
      <top style="thick">
        <color rgb="FF5B6770"/>
      </top>
      <bottom style="medium">
        <color rgb="FFFFFFFF"/>
      </bottom>
      <diagonal/>
    </border>
    <border>
      <left style="medium">
        <color rgb="FFFFFFFF"/>
      </left>
      <right style="thick">
        <color rgb="FF5B6770"/>
      </right>
      <top style="thick">
        <color rgb="FF5B6770"/>
      </top>
      <bottom style="medium">
        <color rgb="FFFFFFFF"/>
      </bottom>
      <diagonal/>
    </border>
    <border>
      <left style="thick">
        <color rgb="FF5B6770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thick">
        <color rgb="FF5B6770"/>
      </right>
      <top style="medium">
        <color rgb="FFFFFFFF"/>
      </top>
      <bottom style="medium">
        <color rgb="FFFFFFFF"/>
      </bottom>
      <diagonal/>
    </border>
    <border>
      <left style="thick">
        <color rgb="FF5B6770"/>
      </left>
      <right/>
      <top style="thick">
        <color rgb="FF5B6770"/>
      </top>
      <bottom style="thick">
        <color rgb="FF5B6770"/>
      </bottom>
      <diagonal/>
    </border>
    <border>
      <left/>
      <right/>
      <top style="thick">
        <color rgb="FF5B6770"/>
      </top>
      <bottom style="thick">
        <color rgb="FF5B6770"/>
      </bottom>
      <diagonal/>
    </border>
    <border>
      <left/>
      <right style="thick">
        <color rgb="FF5B6770"/>
      </right>
      <top style="thick">
        <color rgb="FF5B6770"/>
      </top>
      <bottom style="thick">
        <color rgb="FF5B6770"/>
      </bottom>
      <diagonal/>
    </border>
    <border>
      <left style="thick">
        <color rgb="FF5B6770"/>
      </left>
      <right/>
      <top/>
      <bottom/>
      <diagonal/>
    </border>
    <border>
      <left style="thick">
        <color rgb="FF5B6770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thick">
        <color rgb="FF5B6770"/>
      </right>
      <top style="medium">
        <color rgb="FFFFFFFF"/>
      </top>
      <bottom/>
      <diagonal/>
    </border>
    <border>
      <left style="thick">
        <color rgb="FF5B6770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thick">
        <color rgb="FF5B6770"/>
      </right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theme="0"/>
      </bottom>
      <diagonal/>
    </border>
    <border>
      <left style="medium">
        <color rgb="FFFFFFFF"/>
      </left>
      <right style="thick">
        <color rgb="FF5B6770"/>
      </right>
      <top style="medium">
        <color rgb="FFFFFFFF"/>
      </top>
      <bottom style="medium">
        <color theme="0"/>
      </bottom>
      <diagonal/>
    </border>
    <border>
      <left style="thick">
        <color rgb="FF5B6770"/>
      </left>
      <right style="medium">
        <color rgb="FFFFFFFF"/>
      </right>
      <top style="thick">
        <color rgb="FF5B6770"/>
      </top>
      <bottom/>
      <diagonal/>
    </border>
    <border>
      <left style="thick">
        <color rgb="FF5B6770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 style="thick">
        <color rgb="FF5B6770"/>
      </top>
      <bottom style="thick">
        <color rgb="FF5B6770"/>
      </bottom>
      <diagonal/>
    </border>
    <border>
      <left style="medium">
        <color rgb="FFFFFFFF"/>
      </left>
      <right style="thick">
        <color theme="1"/>
      </right>
      <top style="thick">
        <color rgb="FF5B6770"/>
      </top>
      <bottom style="thick">
        <color rgb="FF5B6770"/>
      </bottom>
      <diagonal/>
    </border>
    <border>
      <left style="thick">
        <color theme="1"/>
      </left>
      <right style="medium">
        <color rgb="FFFFFFFF"/>
      </right>
      <top style="thick">
        <color rgb="FF5B6770"/>
      </top>
      <bottom style="thick">
        <color rgb="FF5B6770"/>
      </bottom>
      <diagonal/>
    </border>
    <border>
      <left style="medium">
        <color rgb="FFFFFFFF"/>
      </left>
      <right style="thick">
        <color theme="1"/>
      </right>
      <top style="thick">
        <color rgb="FF5B6770"/>
      </top>
      <bottom style="medium">
        <color rgb="FFFFFFFF"/>
      </bottom>
      <diagonal/>
    </border>
    <border>
      <left/>
      <right style="thick">
        <color theme="1"/>
      </right>
      <top style="thick">
        <color rgb="FF5B6770"/>
      </top>
      <bottom style="thick">
        <color rgb="FF5B6770"/>
      </bottom>
      <diagonal/>
    </border>
    <border>
      <left style="thick">
        <color rgb="FF5B6770"/>
      </left>
      <right style="thick">
        <color rgb="FF5B6770"/>
      </right>
      <top style="thick">
        <color rgb="FF5B6770"/>
      </top>
      <bottom/>
      <diagonal/>
    </border>
    <border>
      <left style="thick">
        <color rgb="FF5B6770"/>
      </left>
      <right style="thick">
        <color rgb="FF5B6770"/>
      </right>
      <top/>
      <bottom/>
      <diagonal/>
    </border>
    <border>
      <left style="thick">
        <color rgb="FF5B6770"/>
      </left>
      <right style="thick">
        <color rgb="FF5B6770"/>
      </right>
      <top/>
      <bottom style="thick">
        <color rgb="FF5B6770"/>
      </bottom>
      <diagonal/>
    </border>
    <border>
      <left style="thick">
        <color rgb="FF5B6770"/>
      </left>
      <right style="thick">
        <color theme="1"/>
      </right>
      <top style="thick">
        <color rgb="FF5B6770"/>
      </top>
      <bottom style="thick">
        <color rgb="FF5B6770"/>
      </bottom>
      <diagonal/>
    </border>
    <border>
      <left style="thick">
        <color rgb="FF5B6770"/>
      </left>
      <right style="medium">
        <color rgb="FFFFFFFF"/>
      </right>
      <top style="medium">
        <color theme="0"/>
      </top>
      <bottom/>
      <diagonal/>
    </border>
    <border>
      <left style="medium">
        <color rgb="FFFFFFFF"/>
      </left>
      <right style="thick">
        <color theme="1"/>
      </right>
      <top style="medium">
        <color rgb="FFFFFFFF"/>
      </top>
      <bottom/>
      <diagonal/>
    </border>
    <border>
      <left style="thick">
        <color rgb="FF5B6770"/>
      </left>
      <right style="thick">
        <color rgb="FF5B6770"/>
      </right>
      <top style="thick">
        <color rgb="FF5B6770"/>
      </top>
      <bottom style="thick">
        <color rgb="FF5B6770"/>
      </bottom>
      <diagonal/>
    </border>
    <border>
      <left/>
      <right/>
      <top style="thick">
        <color rgb="FF5B6770"/>
      </top>
      <bottom/>
      <diagonal/>
    </border>
    <border>
      <left style="thick">
        <color rgb="FF5B6770"/>
      </left>
      <right/>
      <top style="thick">
        <color rgb="FF5B6770"/>
      </top>
      <bottom/>
      <diagonal/>
    </border>
    <border>
      <left style="thick">
        <color theme="1"/>
      </left>
      <right style="thick">
        <color theme="1"/>
      </right>
      <top style="thick">
        <color rgb="FF5B6770"/>
      </top>
      <bottom style="thick">
        <color rgb="FF5B6770"/>
      </bottom>
      <diagonal/>
    </border>
    <border>
      <left style="thick">
        <color theme="1"/>
      </left>
      <right style="thick">
        <color theme="1"/>
      </right>
      <top style="thick">
        <color rgb="FF5B6770"/>
      </top>
      <bottom style="medium">
        <color rgb="FFFFFFFF"/>
      </bottom>
      <diagonal/>
    </border>
    <border>
      <left style="thick">
        <color theme="1"/>
      </left>
      <right style="thick">
        <color theme="1"/>
      </right>
      <top style="medium">
        <color rgb="FFFFFFFF"/>
      </top>
      <bottom style="thick">
        <color rgb="FF5B6770"/>
      </bottom>
      <diagonal/>
    </border>
    <border>
      <left style="thick">
        <color theme="1"/>
      </left>
      <right/>
      <top style="thick">
        <color rgb="FF5B6770"/>
      </top>
      <bottom style="thick">
        <color rgb="FF5B6770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92">
    <xf numFmtId="0" fontId="0" fillId="0" borderId="0" xfId="0"/>
    <xf numFmtId="0" fontId="1" fillId="3" borderId="2" xfId="0" applyFont="1" applyFill="1" applyBorder="1" applyAlignment="1">
      <alignment horizontal="center" vertical="center" wrapText="1" readingOrder="1"/>
    </xf>
    <xf numFmtId="0" fontId="1" fillId="2" borderId="8" xfId="0" applyFont="1" applyFill="1" applyBorder="1" applyAlignment="1">
      <alignment horizontal="center" vertical="center" wrapText="1" readingOrder="1"/>
    </xf>
    <xf numFmtId="49" fontId="0" fillId="0" borderId="0" xfId="0" applyNumberFormat="1"/>
    <xf numFmtId="0" fontId="1" fillId="3" borderId="8" xfId="0" applyFont="1" applyFill="1" applyBorder="1" applyAlignment="1">
      <alignment horizontal="center" vertical="center" wrapText="1" readingOrder="1"/>
    </xf>
    <xf numFmtId="6" fontId="1" fillId="3" borderId="9" xfId="0" applyNumberFormat="1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4" fillId="5" borderId="0" xfId="0" applyFont="1" applyFill="1"/>
    <xf numFmtId="0" fontId="0" fillId="5" borderId="0" xfId="0" applyFill="1"/>
    <xf numFmtId="49" fontId="0" fillId="5" borderId="0" xfId="0" applyNumberFormat="1" applyFill="1"/>
    <xf numFmtId="0" fontId="1" fillId="3" borderId="11" xfId="0" applyFont="1" applyFill="1" applyBorder="1" applyAlignment="1">
      <alignment horizontal="center" vertical="center" wrapText="1" readingOrder="1"/>
    </xf>
    <xf numFmtId="0" fontId="1" fillId="4" borderId="12" xfId="0" applyFont="1" applyFill="1" applyBorder="1" applyAlignment="1">
      <alignment horizontal="center" vertical="center" wrapText="1" readingOrder="1"/>
    </xf>
    <xf numFmtId="6" fontId="1" fillId="4" borderId="12" xfId="0" applyNumberFormat="1" applyFont="1" applyFill="1" applyBorder="1" applyAlignment="1">
      <alignment horizontal="center" vertical="center" wrapText="1" readingOrder="1"/>
    </xf>
    <xf numFmtId="0" fontId="2" fillId="4" borderId="4" xfId="0" applyFont="1" applyFill="1" applyBorder="1" applyAlignment="1">
      <alignment horizontal="center" vertical="center" wrapText="1" readingOrder="1"/>
    </xf>
    <xf numFmtId="1" fontId="1" fillId="4" borderId="13" xfId="0" applyNumberFormat="1" applyFont="1" applyFill="1" applyBorder="1" applyAlignment="1" applyProtection="1">
      <alignment horizontal="center" vertical="center" wrapText="1" readingOrder="1"/>
      <protection locked="0"/>
    </xf>
    <xf numFmtId="164" fontId="1" fillId="3" borderId="1" xfId="0" applyNumberFormat="1" applyFont="1" applyFill="1" applyBorder="1" applyAlignment="1" applyProtection="1">
      <alignment horizontal="center" vertical="center" wrapText="1" readingOrder="1"/>
      <protection locked="0"/>
    </xf>
    <xf numFmtId="0" fontId="3" fillId="5" borderId="0" xfId="0" applyFont="1" applyFill="1" applyAlignment="1">
      <alignment vertical="center" wrapText="1"/>
    </xf>
    <xf numFmtId="0" fontId="1" fillId="3" borderId="15" xfId="0" applyFont="1" applyFill="1" applyBorder="1" applyAlignment="1">
      <alignment horizontal="center" vertical="center" wrapText="1" readingOrder="1"/>
    </xf>
    <xf numFmtId="6" fontId="1" fillId="3" borderId="15" xfId="0" applyNumberFormat="1" applyFont="1" applyFill="1" applyBorder="1" applyAlignment="1">
      <alignment horizontal="center" vertical="center" wrapText="1" readingOrder="1"/>
    </xf>
    <xf numFmtId="1" fontId="2" fillId="3" borderId="16" xfId="0" applyNumberFormat="1" applyFont="1" applyFill="1" applyBorder="1" applyAlignment="1" applyProtection="1">
      <alignment horizontal="center" vertical="center" wrapText="1" readingOrder="1"/>
      <protection locked="0"/>
    </xf>
    <xf numFmtId="0" fontId="2" fillId="3" borderId="15" xfId="0" applyFont="1" applyFill="1" applyBorder="1" applyAlignment="1">
      <alignment horizontal="center" vertical="center" wrapText="1" readingOrder="1"/>
    </xf>
    <xf numFmtId="0" fontId="2" fillId="4" borderId="12" xfId="0" applyFont="1" applyFill="1" applyBorder="1" applyAlignment="1">
      <alignment horizontal="center" vertical="center" wrapText="1" readingOrder="1"/>
    </xf>
    <xf numFmtId="6" fontId="1" fillId="5" borderId="0" xfId="0" applyNumberFormat="1" applyFont="1" applyFill="1" applyAlignment="1">
      <alignment horizontal="center" vertical="center" wrapText="1" readingOrder="1"/>
    </xf>
    <xf numFmtId="0" fontId="1" fillId="5" borderId="0" xfId="0" applyFont="1" applyFill="1" applyAlignment="1">
      <alignment horizontal="center" vertical="center" wrapText="1" readingOrder="1"/>
    </xf>
    <xf numFmtId="49" fontId="1" fillId="5" borderId="0" xfId="0" quotePrefix="1" applyNumberFormat="1" applyFont="1" applyFill="1" applyAlignment="1">
      <alignment horizontal="center" vertical="center" wrapText="1" readingOrder="1"/>
    </xf>
    <xf numFmtId="0" fontId="2" fillId="3" borderId="17" xfId="0" applyFont="1" applyFill="1" applyBorder="1" applyAlignment="1">
      <alignment horizontal="center" vertical="center" wrapText="1" readingOrder="1"/>
    </xf>
    <xf numFmtId="0" fontId="1" fillId="3" borderId="17" xfId="0" applyFont="1" applyFill="1" applyBorder="1" applyAlignment="1">
      <alignment horizontal="center" vertical="center" wrapText="1" readingOrder="1"/>
    </xf>
    <xf numFmtId="6" fontId="1" fillId="3" borderId="17" xfId="0" applyNumberFormat="1" applyFont="1" applyFill="1" applyBorder="1" applyAlignment="1">
      <alignment horizontal="center" vertical="center" wrapText="1" readingOrder="1"/>
    </xf>
    <xf numFmtId="1" fontId="2" fillId="3" borderId="18" xfId="0" applyNumberFormat="1" applyFont="1" applyFill="1" applyBorder="1" applyAlignment="1" applyProtection="1">
      <alignment horizontal="center" vertical="center" wrapText="1" readingOrder="1"/>
      <protection locked="0"/>
    </xf>
    <xf numFmtId="0" fontId="2" fillId="3" borderId="17" xfId="0" quotePrefix="1" applyFont="1" applyFill="1" applyBorder="1" applyAlignment="1">
      <alignment horizontal="center" vertical="center" wrapText="1" readingOrder="1"/>
    </xf>
    <xf numFmtId="164" fontId="1" fillId="3" borderId="21" xfId="0" applyNumberFormat="1" applyFont="1" applyFill="1" applyBorder="1" applyAlignment="1" applyProtection="1">
      <alignment horizontal="center" vertical="center" wrapText="1" readingOrder="1"/>
      <protection locked="0"/>
    </xf>
    <xf numFmtId="0" fontId="2" fillId="5" borderId="8" xfId="0" applyFont="1" applyFill="1" applyBorder="1" applyAlignment="1">
      <alignment horizontal="center" vertical="center" wrapText="1" readingOrder="1"/>
    </xf>
    <xf numFmtId="164" fontId="1" fillId="5" borderId="8" xfId="0" applyNumberFormat="1" applyFont="1" applyFill="1" applyBorder="1" applyAlignment="1" applyProtection="1">
      <alignment horizontal="center" vertical="center" wrapText="1" readingOrder="1"/>
      <protection locked="0"/>
    </xf>
    <xf numFmtId="164" fontId="1" fillId="3" borderId="22" xfId="0" applyNumberFormat="1" applyFont="1" applyFill="1" applyBorder="1" applyAlignment="1" applyProtection="1">
      <alignment horizontal="center" vertical="center" wrapText="1" readingOrder="1"/>
      <protection locked="0"/>
    </xf>
    <xf numFmtId="164" fontId="1" fillId="3" borderId="23" xfId="0" applyNumberFormat="1" applyFont="1" applyFill="1" applyBorder="1" applyAlignment="1" applyProtection="1">
      <alignment horizontal="center" vertical="center" wrapText="1" readingOrder="1"/>
      <protection locked="0"/>
    </xf>
    <xf numFmtId="0" fontId="2" fillId="2" borderId="25" xfId="0" applyFont="1" applyFill="1" applyBorder="1" applyAlignment="1">
      <alignment horizontal="center" vertical="center" wrapText="1" readingOrder="1"/>
    </xf>
    <xf numFmtId="0" fontId="2" fillId="3" borderId="19" xfId="0" applyFont="1" applyFill="1" applyBorder="1" applyAlignment="1">
      <alignment horizontal="center" vertical="center" wrapText="1" readingOrder="1"/>
    </xf>
    <xf numFmtId="164" fontId="1" fillId="3" borderId="24" xfId="1" applyNumberFormat="1" applyFont="1" applyFill="1" applyBorder="1" applyAlignment="1">
      <alignment horizontal="center" vertical="center" wrapText="1" readingOrder="1"/>
    </xf>
    <xf numFmtId="0" fontId="2" fillId="5" borderId="28" xfId="0" applyFont="1" applyFill="1" applyBorder="1" applyAlignment="1">
      <alignment vertical="center" textRotation="90" wrapText="1" readingOrder="1"/>
    </xf>
    <xf numFmtId="0" fontId="2" fillId="3" borderId="12" xfId="0" applyFont="1" applyFill="1" applyBorder="1" applyAlignment="1">
      <alignment horizontal="center" vertical="center" wrapText="1" readingOrder="1"/>
    </xf>
    <xf numFmtId="164" fontId="2" fillId="3" borderId="31" xfId="1" applyNumberFormat="1" applyFont="1" applyFill="1" applyBorder="1" applyAlignment="1">
      <alignment horizontal="center" vertical="center" wrapText="1" readingOrder="1"/>
    </xf>
    <xf numFmtId="0" fontId="1" fillId="5" borderId="32" xfId="0" applyFont="1" applyFill="1" applyBorder="1" applyAlignment="1">
      <alignment vertical="center" wrapText="1" readingOrder="1"/>
    </xf>
    <xf numFmtId="0" fontId="2" fillId="5" borderId="32" xfId="0" applyFont="1" applyFill="1" applyBorder="1" applyAlignment="1">
      <alignment horizontal="center" vertical="center" wrapText="1" readingOrder="1"/>
    </xf>
    <xf numFmtId="164" fontId="2" fillId="5" borderId="29" xfId="1" applyNumberFormat="1" applyFont="1" applyFill="1" applyBorder="1" applyAlignment="1">
      <alignment horizontal="center" vertical="center" wrapText="1" readingOrder="1"/>
    </xf>
    <xf numFmtId="0" fontId="3" fillId="5" borderId="33" xfId="0" applyFont="1" applyFill="1" applyBorder="1" applyAlignment="1">
      <alignment vertical="center" wrapText="1"/>
    </xf>
    <xf numFmtId="0" fontId="2" fillId="3" borderId="30" xfId="0" applyFont="1" applyFill="1" applyBorder="1" applyAlignment="1">
      <alignment horizontal="center" vertical="center" wrapText="1" readingOrder="1"/>
    </xf>
    <xf numFmtId="49" fontId="2" fillId="2" borderId="8" xfId="0" quotePrefix="1" applyNumberFormat="1" applyFont="1" applyFill="1" applyBorder="1" applyAlignment="1">
      <alignment horizontal="center" vertical="center" wrapText="1" readingOrder="1"/>
    </xf>
    <xf numFmtId="49" fontId="2" fillId="3" borderId="8" xfId="0" quotePrefix="1" applyNumberFormat="1" applyFont="1" applyFill="1" applyBorder="1" applyAlignment="1">
      <alignment horizontal="center" vertical="center" wrapText="1" readingOrder="1"/>
    </xf>
    <xf numFmtId="0" fontId="2" fillId="5" borderId="7" xfId="0" applyFont="1" applyFill="1" applyBorder="1" applyAlignment="1">
      <alignment horizontal="center" vertical="center" wrapText="1" readingOrder="1"/>
    </xf>
    <xf numFmtId="0" fontId="2" fillId="2" borderId="35" xfId="0" applyFont="1" applyFill="1" applyBorder="1" applyAlignment="1">
      <alignment horizontal="center" vertical="center" wrapText="1" readingOrder="1"/>
    </xf>
    <xf numFmtId="1" fontId="1" fillId="3" borderId="36" xfId="0" applyNumberFormat="1" applyFont="1" applyFill="1" applyBorder="1" applyAlignment="1">
      <alignment horizontal="center" vertical="center" wrapText="1" readingOrder="1"/>
    </xf>
    <xf numFmtId="1" fontId="2" fillId="3" borderId="37" xfId="0" applyNumberFormat="1" applyFont="1" applyFill="1" applyBorder="1" applyAlignment="1">
      <alignment horizontal="center" vertical="center" wrapText="1" readingOrder="1"/>
    </xf>
    <xf numFmtId="0" fontId="1" fillId="2" borderId="7" xfId="0" applyFont="1" applyFill="1" applyBorder="1" applyAlignment="1">
      <alignment horizontal="center" vertical="center" wrapText="1" readingOrder="1"/>
    </xf>
    <xf numFmtId="0" fontId="2" fillId="2" borderId="38" xfId="0" applyFont="1" applyFill="1" applyBorder="1" applyAlignment="1">
      <alignment horizontal="center" vertical="center" wrapText="1" readingOrder="1"/>
    </xf>
    <xf numFmtId="164" fontId="1" fillId="7" borderId="15" xfId="1" applyNumberFormat="1" applyFont="1" applyFill="1" applyBorder="1" applyAlignment="1">
      <alignment horizontal="center" vertical="center" wrapText="1" readingOrder="1"/>
    </xf>
    <xf numFmtId="6" fontId="1" fillId="7" borderId="12" xfId="0" applyNumberFormat="1" applyFont="1" applyFill="1" applyBorder="1" applyAlignment="1">
      <alignment horizontal="center" vertical="center" wrapText="1" readingOrder="1"/>
    </xf>
    <xf numFmtId="0" fontId="9" fillId="4" borderId="12" xfId="0" applyFont="1" applyFill="1" applyBorder="1" applyAlignment="1">
      <alignment horizontal="center" vertical="center" wrapText="1" readingOrder="1"/>
    </xf>
    <xf numFmtId="6" fontId="9" fillId="4" borderId="12" xfId="0" applyNumberFormat="1" applyFont="1" applyFill="1" applyBorder="1" applyAlignment="1">
      <alignment horizontal="center" vertical="center" wrapText="1" readingOrder="1"/>
    </xf>
    <xf numFmtId="1" fontId="9" fillId="4" borderId="13" xfId="0" applyNumberFormat="1" applyFont="1" applyFill="1" applyBorder="1" applyAlignment="1" applyProtection="1">
      <alignment horizontal="center" vertical="center" wrapText="1" readingOrder="1"/>
      <protection locked="0"/>
    </xf>
    <xf numFmtId="0" fontId="9" fillId="3" borderId="2" xfId="0" applyFont="1" applyFill="1" applyBorder="1" applyAlignment="1">
      <alignment horizontal="center" vertical="center" wrapText="1" readingOrder="1"/>
    </xf>
    <xf numFmtId="0" fontId="9" fillId="3" borderId="12" xfId="0" applyFont="1" applyFill="1" applyBorder="1" applyAlignment="1">
      <alignment horizontal="center" vertical="center" wrapText="1" readingOrder="1"/>
    </xf>
    <xf numFmtId="6" fontId="9" fillId="3" borderId="2" xfId="0" applyNumberFormat="1" applyFont="1" applyFill="1" applyBorder="1" applyAlignment="1">
      <alignment horizontal="center" vertical="center" wrapText="1" readingOrder="1"/>
    </xf>
    <xf numFmtId="1" fontId="9" fillId="3" borderId="3" xfId="0" applyNumberFormat="1" applyFont="1" applyFill="1" applyBorder="1" applyAlignment="1" applyProtection="1">
      <alignment horizontal="center" vertical="center" wrapText="1" readingOrder="1"/>
      <protection locked="0"/>
    </xf>
    <xf numFmtId="6" fontId="9" fillId="3" borderId="12" xfId="0" applyNumberFormat="1" applyFont="1" applyFill="1" applyBorder="1" applyAlignment="1">
      <alignment horizontal="center" vertical="center" wrapText="1" readingOrder="1"/>
    </xf>
    <xf numFmtId="1" fontId="9" fillId="3" borderId="13" xfId="0" applyNumberFormat="1" applyFont="1" applyFill="1" applyBorder="1" applyAlignment="1" applyProtection="1">
      <alignment horizontal="center" vertical="center" wrapText="1" readingOrder="1"/>
      <protection locked="0"/>
    </xf>
    <xf numFmtId="0" fontId="9" fillId="4" borderId="5" xfId="0" applyFont="1" applyFill="1" applyBorder="1" applyAlignment="1">
      <alignment horizontal="center" vertical="center" wrapText="1" readingOrder="1"/>
    </xf>
    <xf numFmtId="6" fontId="9" fillId="4" borderId="5" xfId="0" applyNumberFormat="1" applyFont="1" applyFill="1" applyBorder="1" applyAlignment="1">
      <alignment horizontal="center" vertical="center" wrapText="1" readingOrder="1"/>
    </xf>
    <xf numFmtId="1" fontId="9" fillId="4" borderId="6" xfId="0" applyNumberFormat="1" applyFont="1" applyFill="1" applyBorder="1" applyAlignment="1" applyProtection="1">
      <alignment horizontal="center" vertical="center" wrapText="1" readingOrder="1"/>
      <protection locked="0"/>
    </xf>
    <xf numFmtId="0" fontId="3" fillId="5" borderId="0" xfId="0" applyFont="1" applyFill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 readingOrder="1"/>
    </xf>
    <xf numFmtId="0" fontId="3" fillId="5" borderId="33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 readingOrder="1"/>
    </xf>
    <xf numFmtId="0" fontId="6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6" fontId="1" fillId="3" borderId="7" xfId="0" applyNumberFormat="1" applyFont="1" applyFill="1" applyBorder="1" applyAlignment="1">
      <alignment horizontal="center" vertical="center" wrapText="1" readingOrder="1"/>
    </xf>
    <xf numFmtId="6" fontId="1" fillId="3" borderId="8" xfId="0" applyNumberFormat="1" applyFont="1" applyFill="1" applyBorder="1" applyAlignment="1">
      <alignment horizontal="center" vertical="center" wrapText="1" readingOrder="1"/>
    </xf>
    <xf numFmtId="0" fontId="3" fillId="5" borderId="34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textRotation="90" wrapText="1" readingOrder="1"/>
    </xf>
    <xf numFmtId="0" fontId="2" fillId="2" borderId="27" xfId="0" applyFont="1" applyFill="1" applyBorder="1" applyAlignment="1">
      <alignment horizontal="center" vertical="center" textRotation="90" wrapText="1" readingOrder="1"/>
    </xf>
    <xf numFmtId="0" fontId="2" fillId="2" borderId="28" xfId="0" applyFont="1" applyFill="1" applyBorder="1" applyAlignment="1">
      <alignment horizontal="center" vertical="center" textRotation="90" wrapText="1" readingOrder="1"/>
    </xf>
    <xf numFmtId="0" fontId="3" fillId="5" borderId="0" xfId="0" applyFont="1" applyFill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 readingOrder="1"/>
    </xf>
    <xf numFmtId="0" fontId="1" fillId="3" borderId="14" xfId="0" applyFont="1" applyFill="1" applyBorder="1" applyAlignment="1">
      <alignment horizontal="center" vertical="center" wrapText="1" readingOrder="1"/>
    </xf>
    <xf numFmtId="0" fontId="1" fillId="3" borderId="20" xfId="0" applyFont="1" applyFill="1" applyBorder="1" applyAlignment="1">
      <alignment horizontal="center" vertical="center" wrapText="1" readingOrder="1"/>
    </xf>
    <xf numFmtId="0" fontId="1" fillId="4" borderId="11" xfId="0" applyFont="1" applyFill="1" applyBorder="1" applyAlignment="1">
      <alignment horizontal="center" vertical="center" wrapText="1" readingOrder="1"/>
    </xf>
    <xf numFmtId="0" fontId="1" fillId="4" borderId="14" xfId="0" applyFont="1" applyFill="1" applyBorder="1" applyAlignment="1">
      <alignment horizontal="center" vertical="center" wrapText="1" readingOrder="1"/>
    </xf>
    <xf numFmtId="0" fontId="1" fillId="4" borderId="20" xfId="0" applyFont="1" applyFill="1" applyBorder="1" applyAlignment="1">
      <alignment horizontal="center" vertical="center" wrapText="1" readingOrder="1"/>
    </xf>
  </cellXfs>
  <cellStyles count="2">
    <cellStyle name="Currency" xfId="1" builtinId="4"/>
    <cellStyle name="Normal" xfId="0" builtinId="0"/>
  </cellStyles>
  <dxfs count="31">
    <dxf>
      <font>
        <color theme="8" tint="-0.24994659260841701"/>
      </font>
      <fill>
        <patternFill>
          <bgColor theme="0"/>
        </patternFill>
      </fill>
    </dxf>
    <dxf>
      <font>
        <color theme="5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8" tint="-0.24994659260841701"/>
      </font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5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5"/>
      </font>
    </dxf>
    <dxf>
      <font>
        <color theme="8" tint="-0.499984740745262"/>
      </font>
    </dxf>
    <dxf>
      <font>
        <color theme="5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5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5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5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  <dxf>
      <font>
        <color theme="8" tint="-0.2499465926084170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0D0CE"/>
      <color rgb="FFCBE3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149223</xdr:colOff>
      <xdr:row>13</xdr:row>
      <xdr:rowOff>84668</xdr:rowOff>
    </xdr:from>
    <xdr:to>
      <xdr:col>11</xdr:col>
      <xdr:colOff>782106</xdr:colOff>
      <xdr:row>19</xdr:row>
      <xdr:rowOff>565139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CC4CA8-E549-4185-8C24-138E6300E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26640" y="4868335"/>
          <a:ext cx="4442883" cy="32289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149223</xdr:colOff>
      <xdr:row>13</xdr:row>
      <xdr:rowOff>84668</xdr:rowOff>
    </xdr:from>
    <xdr:to>
      <xdr:col>11</xdr:col>
      <xdr:colOff>782106</xdr:colOff>
      <xdr:row>19</xdr:row>
      <xdr:rowOff>565139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CA3176-59EF-4D3C-86ED-5C1FB582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3298" y="4897968"/>
          <a:ext cx="4446058" cy="32204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10</xdr:row>
          <xdr:rowOff>234950</xdr:rowOff>
        </xdr:from>
        <xdr:to>
          <xdr:col>17</xdr:col>
          <xdr:colOff>412750</xdr:colOff>
          <xdr:row>11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5B6770"/>
                  </a:solidFill>
                  <a:latin typeface="Arial"/>
                  <a:cs typeface="Arial"/>
                </a:rPr>
                <a:t>Copy Energy and PTP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ustom Design">
  <a:themeElements>
    <a:clrScheme name="ERCOT Market Training">
      <a:dk1>
        <a:srgbClr val="5B6770"/>
      </a:dk1>
      <a:lt1>
        <a:sysClr val="window" lastClr="FFFFFF"/>
      </a:lt1>
      <a:dk2>
        <a:srgbClr val="003865"/>
      </a:dk2>
      <a:lt2>
        <a:srgbClr val="E7E6E6"/>
      </a:lt2>
      <a:accent1>
        <a:srgbClr val="00AEC7"/>
      </a:accent1>
      <a:accent2>
        <a:srgbClr val="685BC7"/>
      </a:accent2>
      <a:accent3>
        <a:srgbClr val="26D07C"/>
      </a:accent3>
      <a:accent4>
        <a:srgbClr val="FFD100"/>
      </a:accent4>
      <a:accent5>
        <a:srgbClr val="FF8200"/>
      </a:accent5>
      <a:accent6>
        <a:srgbClr val="890C58"/>
      </a:accent6>
      <a:hlink>
        <a:srgbClr val="0563C1"/>
      </a:hlink>
      <a:folHlink>
        <a:srgbClr val="890C58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2EF89-F070-42BE-BD59-4CEED76D4666}">
  <sheetPr codeName="Sheet1"/>
  <dimension ref="A1:W35"/>
  <sheetViews>
    <sheetView tabSelected="1" zoomScale="90" zoomScaleNormal="90" workbookViewId="0"/>
  </sheetViews>
  <sheetFormatPr defaultRowHeight="14.45"/>
  <cols>
    <col min="1" max="1" width="6.5703125" customWidth="1"/>
    <col min="3" max="6" width="13.5703125" customWidth="1"/>
    <col min="7" max="7" width="7.140625" customWidth="1"/>
    <col min="8" max="14" width="13.5703125" customWidth="1"/>
    <col min="15" max="15" width="7.140625" customWidth="1"/>
    <col min="16" max="20" width="13.5703125" customWidth="1"/>
    <col min="21" max="21" width="14.5703125" style="3" customWidth="1"/>
    <col min="22" max="22" width="14.5703125" customWidth="1"/>
    <col min="23" max="23" width="80.85546875" customWidth="1"/>
  </cols>
  <sheetData>
    <row r="1" spans="1:2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9"/>
      <c r="V1" s="8"/>
      <c r="W1" s="8"/>
    </row>
    <row r="2" spans="1:23" ht="41.45" customHeight="1">
      <c r="A2" s="8"/>
      <c r="B2" s="8"/>
      <c r="C2" s="8"/>
      <c r="D2" s="8"/>
      <c r="E2" s="8"/>
      <c r="F2" s="8"/>
      <c r="G2" s="8"/>
      <c r="H2" s="73" t="s">
        <v>0</v>
      </c>
      <c r="I2" s="74"/>
      <c r="J2" s="74"/>
      <c r="K2" s="74"/>
      <c r="L2" s="74"/>
      <c r="M2" s="74"/>
      <c r="N2" s="74"/>
      <c r="O2" s="8"/>
      <c r="P2" s="8"/>
      <c r="Q2" s="8"/>
      <c r="R2" s="8"/>
      <c r="S2" s="8"/>
      <c r="T2" s="8"/>
      <c r="U2" s="9"/>
      <c r="V2" s="8"/>
      <c r="W2" s="8"/>
    </row>
    <row r="3" spans="1:23" ht="19.5" customHeight="1" thickBot="1">
      <c r="A3" s="8"/>
      <c r="B3" s="8"/>
      <c r="C3" s="8"/>
      <c r="D3" s="8"/>
      <c r="E3" s="8"/>
      <c r="F3" s="8"/>
      <c r="G3" s="7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  <c r="V3" s="8"/>
      <c r="W3" s="8"/>
    </row>
    <row r="4" spans="1:23" ht="51.95" customHeight="1" thickTop="1" thickBot="1">
      <c r="A4" s="8"/>
      <c r="B4" s="82" t="s">
        <v>1</v>
      </c>
      <c r="C4" s="72" t="s">
        <v>2</v>
      </c>
      <c r="D4" s="70" t="s">
        <v>3</v>
      </c>
      <c r="E4" s="35" t="s">
        <v>4</v>
      </c>
      <c r="F4" s="49" t="s">
        <v>5</v>
      </c>
      <c r="G4" s="8"/>
      <c r="H4" s="52" t="s">
        <v>6</v>
      </c>
      <c r="I4" s="2" t="s">
        <v>2</v>
      </c>
      <c r="J4" s="2" t="s">
        <v>7</v>
      </c>
      <c r="K4" s="2" t="s">
        <v>8</v>
      </c>
      <c r="L4" s="2" t="s">
        <v>3</v>
      </c>
      <c r="M4" s="2" t="s">
        <v>4</v>
      </c>
      <c r="N4" s="6" t="s">
        <v>9</v>
      </c>
      <c r="O4" s="75"/>
      <c r="P4" s="76" t="s">
        <v>10</v>
      </c>
      <c r="Q4" s="77"/>
      <c r="R4" s="2" t="s">
        <v>11</v>
      </c>
      <c r="S4" s="77" t="s">
        <v>12</v>
      </c>
      <c r="T4" s="77"/>
      <c r="U4" s="46" t="s">
        <v>13</v>
      </c>
      <c r="V4" s="6" t="s">
        <v>14</v>
      </c>
      <c r="W4" s="8"/>
    </row>
    <row r="5" spans="1:23" ht="27.6" customHeight="1" thickTop="1" thickBot="1">
      <c r="A5" s="8"/>
      <c r="B5" s="83"/>
      <c r="C5" s="36" t="s">
        <v>15</v>
      </c>
      <c r="D5" s="1">
        <v>8</v>
      </c>
      <c r="E5" s="37">
        <v>35</v>
      </c>
      <c r="F5" s="50">
        <f>N6+N9</f>
        <v>0</v>
      </c>
      <c r="G5" s="8"/>
      <c r="H5" s="86" t="s">
        <v>16</v>
      </c>
      <c r="I5" s="59" t="s">
        <v>17</v>
      </c>
      <c r="J5" s="59" t="s">
        <v>18</v>
      </c>
      <c r="K5" s="59" t="s">
        <v>19</v>
      </c>
      <c r="L5" s="59">
        <v>100</v>
      </c>
      <c r="M5" s="61">
        <v>20</v>
      </c>
      <c r="N5" s="62"/>
      <c r="O5" s="75"/>
      <c r="P5" s="78">
        <f>(N11*M11)+(N12*M12)+(F5*E5)+(F6*E6)</f>
        <v>0</v>
      </c>
      <c r="Q5" s="79"/>
      <c r="R5" s="4" t="s">
        <v>11</v>
      </c>
      <c r="S5" s="79">
        <f>(N5*M5)+(N6*M6)+(N7*M7)+(N8*M8)+(N9*M9)+(N10*M10)</f>
        <v>0</v>
      </c>
      <c r="T5" s="79"/>
      <c r="U5" s="47" t="s">
        <v>13</v>
      </c>
      <c r="V5" s="5">
        <f>P5-S5</f>
        <v>0</v>
      </c>
      <c r="W5" s="8"/>
    </row>
    <row r="6" spans="1:23" ht="27.6" customHeight="1" thickBot="1">
      <c r="A6" s="8"/>
      <c r="B6" s="84"/>
      <c r="C6" s="45" t="s">
        <v>20</v>
      </c>
      <c r="D6" s="39">
        <v>12</v>
      </c>
      <c r="E6" s="40">
        <v>15</v>
      </c>
      <c r="F6" s="51">
        <f>N7+N10</f>
        <v>0</v>
      </c>
      <c r="G6" s="8"/>
      <c r="H6" s="87"/>
      <c r="I6" s="25" t="s">
        <v>15</v>
      </c>
      <c r="J6" s="25" t="s">
        <v>18</v>
      </c>
      <c r="K6" s="29" t="s">
        <v>21</v>
      </c>
      <c r="L6" s="26">
        <v>10</v>
      </c>
      <c r="M6" s="27">
        <v>25</v>
      </c>
      <c r="N6" s="28"/>
      <c r="O6" s="68"/>
      <c r="P6" s="22"/>
      <c r="Q6" s="22"/>
      <c r="R6" s="23"/>
      <c r="S6" s="22"/>
      <c r="T6" s="22"/>
      <c r="U6" s="24"/>
      <c r="V6" s="22"/>
      <c r="W6" s="8"/>
    </row>
    <row r="7" spans="1:23" ht="27.6" customHeight="1" thickTop="1" thickBot="1">
      <c r="A7" s="8"/>
      <c r="B7" s="38"/>
      <c r="C7" s="41"/>
      <c r="D7" s="42"/>
      <c r="E7" s="43"/>
      <c r="F7" s="48"/>
      <c r="G7" s="8"/>
      <c r="H7" s="88"/>
      <c r="I7" s="20" t="s">
        <v>20</v>
      </c>
      <c r="J7" s="20" t="s">
        <v>18</v>
      </c>
      <c r="K7" s="29" t="s">
        <v>21</v>
      </c>
      <c r="L7" s="17">
        <v>20</v>
      </c>
      <c r="M7" s="18">
        <v>5</v>
      </c>
      <c r="N7" s="19"/>
      <c r="O7" s="68"/>
      <c r="P7" s="22"/>
      <c r="Q7" s="22"/>
      <c r="R7" s="23"/>
      <c r="S7" s="22"/>
      <c r="T7" s="22"/>
      <c r="U7" s="24"/>
      <c r="V7" s="22"/>
      <c r="W7" s="8"/>
    </row>
    <row r="8" spans="1:23" ht="27.6" customHeight="1" thickTop="1" thickBot="1">
      <c r="A8" s="8"/>
      <c r="B8" s="8"/>
      <c r="C8" s="80" t="str">
        <f>IF((N6+N9)&lt;D5,"ECRS not fulfilled","")</f>
        <v>ECRS not fulfilled</v>
      </c>
      <c r="D8" s="81"/>
      <c r="E8" s="44"/>
      <c r="F8" s="71"/>
      <c r="G8" s="8"/>
      <c r="H8" s="89" t="s">
        <v>22</v>
      </c>
      <c r="I8" s="56" t="s">
        <v>17</v>
      </c>
      <c r="J8" s="56" t="s">
        <v>18</v>
      </c>
      <c r="K8" s="56" t="s">
        <v>23</v>
      </c>
      <c r="L8" s="56">
        <v>60</v>
      </c>
      <c r="M8" s="57">
        <v>30</v>
      </c>
      <c r="N8" s="58"/>
      <c r="O8" s="8"/>
      <c r="P8" s="72" t="s">
        <v>24</v>
      </c>
      <c r="Q8" s="70" t="s">
        <v>25</v>
      </c>
      <c r="R8" s="70" t="s">
        <v>26</v>
      </c>
      <c r="S8" s="35" t="s">
        <v>27</v>
      </c>
      <c r="T8" s="31"/>
      <c r="U8" s="53" t="s">
        <v>28</v>
      </c>
      <c r="V8" s="35" t="s">
        <v>29</v>
      </c>
      <c r="W8" s="8"/>
    </row>
    <row r="9" spans="1:23" ht="27.6" customHeight="1" thickTop="1" thickBot="1">
      <c r="A9" s="8"/>
      <c r="B9" s="8"/>
      <c r="C9" s="80" t="str">
        <f>IF((N7+N10)&lt;D6,"Non-Spin not fulfilled","")</f>
        <v>Non-Spin not fulfilled</v>
      </c>
      <c r="D9" s="81"/>
      <c r="E9" s="8"/>
      <c r="F9" s="68"/>
      <c r="G9" s="8"/>
      <c r="H9" s="90"/>
      <c r="I9" s="21" t="s">
        <v>15</v>
      </c>
      <c r="J9" s="21" t="s">
        <v>18</v>
      </c>
      <c r="K9" s="11" t="s">
        <v>21</v>
      </c>
      <c r="L9" s="11">
        <v>20</v>
      </c>
      <c r="M9" s="12">
        <v>15</v>
      </c>
      <c r="N9" s="14"/>
      <c r="O9" s="8"/>
      <c r="P9" s="15"/>
      <c r="Q9" s="30"/>
      <c r="R9" s="30"/>
      <c r="S9" s="30"/>
      <c r="T9" s="32"/>
      <c r="U9" s="34"/>
      <c r="V9" s="33"/>
      <c r="W9" s="8"/>
    </row>
    <row r="10" spans="1:23" ht="27.6" customHeight="1" thickTop="1" thickBot="1">
      <c r="A10" s="8"/>
      <c r="B10" s="8"/>
      <c r="C10" s="8"/>
      <c r="D10" s="8"/>
      <c r="E10" s="8"/>
      <c r="F10" s="8"/>
      <c r="G10" s="8"/>
      <c r="H10" s="91"/>
      <c r="I10" s="21" t="s">
        <v>20</v>
      </c>
      <c r="J10" s="21" t="s">
        <v>18</v>
      </c>
      <c r="K10" s="11" t="s">
        <v>21</v>
      </c>
      <c r="L10" s="11">
        <v>10</v>
      </c>
      <c r="M10" s="12">
        <v>15</v>
      </c>
      <c r="N10" s="14"/>
      <c r="O10" s="8"/>
      <c r="P10" s="8"/>
      <c r="Q10" s="8"/>
      <c r="R10" s="8"/>
      <c r="S10" s="8"/>
      <c r="T10" s="8"/>
      <c r="U10" s="9"/>
      <c r="V10" s="8"/>
      <c r="W10" s="8"/>
    </row>
    <row r="11" spans="1:23" ht="27.6" customHeight="1" thickBot="1">
      <c r="A11" s="8"/>
      <c r="B11" s="8"/>
      <c r="C11" s="8"/>
      <c r="D11" s="8"/>
      <c r="E11" s="8"/>
      <c r="F11" s="8"/>
      <c r="G11" s="8"/>
      <c r="H11" s="10" t="s">
        <v>30</v>
      </c>
      <c r="I11" s="60" t="s">
        <v>17</v>
      </c>
      <c r="J11" s="60" t="s">
        <v>31</v>
      </c>
      <c r="K11" s="60" t="s">
        <v>32</v>
      </c>
      <c r="L11" s="60">
        <v>90</v>
      </c>
      <c r="M11" s="63">
        <v>40</v>
      </c>
      <c r="N11" s="64"/>
      <c r="O11" s="8"/>
      <c r="P11" s="8"/>
      <c r="Q11" s="8"/>
      <c r="R11" s="8"/>
      <c r="S11" s="8"/>
      <c r="T11" s="8"/>
      <c r="U11" s="9"/>
      <c r="V11" s="8"/>
      <c r="W11" s="8"/>
    </row>
    <row r="12" spans="1:23" ht="27.6" customHeight="1" thickBot="1">
      <c r="A12" s="8"/>
      <c r="B12" s="8"/>
      <c r="C12" s="8"/>
      <c r="D12" s="8"/>
      <c r="E12" s="8"/>
      <c r="F12" s="8"/>
      <c r="G12" s="8"/>
      <c r="H12" s="13" t="s">
        <v>33</v>
      </c>
      <c r="I12" s="65" t="s">
        <v>34</v>
      </c>
      <c r="J12" s="65" t="s">
        <v>31</v>
      </c>
      <c r="K12" s="65" t="s">
        <v>35</v>
      </c>
      <c r="L12" s="65">
        <v>30</v>
      </c>
      <c r="M12" s="66">
        <v>20</v>
      </c>
      <c r="N12" s="67"/>
      <c r="O12" s="8"/>
      <c r="P12" s="8"/>
      <c r="Q12" s="8"/>
      <c r="R12" s="8"/>
      <c r="S12" s="8"/>
      <c r="T12" s="8"/>
      <c r="U12" s="9"/>
      <c r="V12" s="8"/>
      <c r="W12" s="8"/>
    </row>
    <row r="13" spans="1:23" ht="30" customHeight="1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9"/>
      <c r="V13" s="8"/>
      <c r="W13" s="8"/>
    </row>
    <row r="14" spans="1:2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9"/>
      <c r="V14" s="8"/>
      <c r="W14" s="8"/>
    </row>
    <row r="15" spans="1:2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9"/>
      <c r="V15" s="8"/>
      <c r="W15" s="8"/>
    </row>
    <row r="16" spans="1:23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9"/>
      <c r="V16" s="8"/>
      <c r="W16" s="8"/>
    </row>
    <row r="17" spans="1:23" ht="54.95" customHeight="1">
      <c r="A17" s="8"/>
      <c r="B17" s="8"/>
      <c r="C17" s="8"/>
      <c r="D17" s="69"/>
      <c r="E17" s="8"/>
      <c r="F17" s="68"/>
      <c r="G17" s="8"/>
      <c r="H17" s="8"/>
      <c r="I17" s="8"/>
      <c r="J17" s="8"/>
      <c r="K17" s="8"/>
      <c r="L17" s="8"/>
      <c r="M17" s="8"/>
      <c r="N17" s="8"/>
      <c r="O17" s="75"/>
      <c r="P17" s="85"/>
      <c r="Q17" s="85"/>
      <c r="R17" s="8"/>
      <c r="S17" s="8"/>
      <c r="T17" s="8"/>
      <c r="U17" s="9"/>
      <c r="V17" s="8"/>
      <c r="W17" s="8"/>
    </row>
    <row r="18" spans="1:23" ht="69.95" customHeight="1">
      <c r="A18" s="8"/>
      <c r="B18" s="8"/>
      <c r="C18" s="8"/>
      <c r="D18" s="68"/>
      <c r="E18" s="8"/>
      <c r="F18" s="68"/>
      <c r="G18" s="8"/>
      <c r="H18" s="8"/>
      <c r="I18" s="8"/>
      <c r="J18" s="8"/>
      <c r="K18" s="8"/>
      <c r="L18" s="8"/>
      <c r="M18" s="75" t="str">
        <f>IF(N5+N8=N11,"Power is balanced","Cleared Energy Offers must equal cleared Energy Bids")</f>
        <v>Power is balanced</v>
      </c>
      <c r="N18" s="85"/>
      <c r="O18" s="16"/>
      <c r="P18" s="68"/>
      <c r="Q18" s="68"/>
      <c r="R18" s="8"/>
      <c r="S18" s="8"/>
      <c r="T18" s="8"/>
      <c r="U18" s="9"/>
      <c r="V18" s="8"/>
      <c r="W18" s="8"/>
    </row>
    <row r="19" spans="1:23" ht="48.95" customHeight="1">
      <c r="A19" s="8"/>
      <c r="B19" s="8"/>
      <c r="C19" s="8"/>
      <c r="D19" s="8"/>
      <c r="E19" s="8"/>
      <c r="F19" s="8"/>
      <c r="G19" s="8"/>
      <c r="H19" s="8"/>
      <c r="I19" s="8"/>
      <c r="J19" s="16"/>
      <c r="K19" s="16"/>
      <c r="L19" s="68"/>
      <c r="M19" s="8"/>
      <c r="N19" s="8"/>
      <c r="O19" s="75"/>
      <c r="P19" s="85"/>
      <c r="Q19" s="85"/>
      <c r="R19" s="8"/>
      <c r="S19" s="8"/>
      <c r="T19" s="8"/>
      <c r="U19" s="9"/>
      <c r="V19" s="8"/>
      <c r="W19" s="8"/>
    </row>
    <row r="20" spans="1:23" ht="45" customHeight="1">
      <c r="A20" s="8"/>
      <c r="B20" s="8"/>
      <c r="C20" s="8"/>
      <c r="D20" s="8"/>
      <c r="E20" s="8"/>
      <c r="F20" s="8"/>
      <c r="G20" s="8"/>
      <c r="H20" s="16"/>
      <c r="I20" s="85" t="str">
        <f>IF((N5+N12)&gt;100,"A to B path is overloaded","")</f>
        <v/>
      </c>
      <c r="J20" s="85"/>
      <c r="K20" s="68"/>
      <c r="L20" s="8"/>
      <c r="M20" s="75" t="str">
        <f>IF(N11&gt;90,"QSE 3 only wants 90MW","")</f>
        <v/>
      </c>
      <c r="N20" s="85"/>
      <c r="O20" s="16"/>
      <c r="P20" s="8"/>
      <c r="Q20" s="8"/>
      <c r="R20" s="8"/>
      <c r="S20" s="8"/>
      <c r="T20" s="8"/>
      <c r="U20" s="9"/>
      <c r="V20" s="8"/>
      <c r="W20" s="8"/>
    </row>
    <row r="21" spans="1:23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  <c r="V21" s="8"/>
      <c r="W21" s="8"/>
    </row>
    <row r="22" spans="1:23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9"/>
      <c r="V22" s="8"/>
      <c r="W22" s="8"/>
    </row>
    <row r="23" spans="1:23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9"/>
      <c r="V23" s="8"/>
      <c r="W23" s="8"/>
    </row>
    <row r="24" spans="1:2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9"/>
      <c r="V24" s="8"/>
      <c r="W24" s="8"/>
    </row>
    <row r="25" spans="1:2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9"/>
      <c r="V25" s="8"/>
      <c r="W25" s="8"/>
    </row>
    <row r="26" spans="1:2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9"/>
      <c r="V26" s="8"/>
      <c r="W26" s="8"/>
    </row>
    <row r="27" spans="1:2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9"/>
      <c r="V27" s="8"/>
      <c r="W27" s="8"/>
    </row>
    <row r="28" spans="1:2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9"/>
      <c r="V28" s="8"/>
      <c r="W28" s="8"/>
    </row>
    <row r="29" spans="1:2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9"/>
      <c r="V29" s="8"/>
      <c r="W29" s="8"/>
    </row>
    <row r="30" spans="1:2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9"/>
      <c r="V30" s="8"/>
      <c r="W30" s="8"/>
    </row>
    <row r="31" spans="1:2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9"/>
      <c r="V31" s="8"/>
      <c r="W31" s="8"/>
    </row>
    <row r="32" spans="1:2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9"/>
      <c r="V32" s="8"/>
      <c r="W32" s="8"/>
    </row>
    <row r="33" spans="1:2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9"/>
      <c r="V33" s="8"/>
      <c r="W33" s="8"/>
    </row>
    <row r="34" spans="1:2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9"/>
      <c r="V34" s="8"/>
      <c r="W34" s="8"/>
    </row>
    <row r="35" spans="1:23" ht="162.6" customHeigh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9"/>
      <c r="V35" s="8"/>
      <c r="W35" s="8"/>
    </row>
  </sheetData>
  <mergeCells count="16">
    <mergeCell ref="I20:J20"/>
    <mergeCell ref="M20:N20"/>
    <mergeCell ref="M18:N18"/>
    <mergeCell ref="S4:T4"/>
    <mergeCell ref="S5:T5"/>
    <mergeCell ref="O17:Q17"/>
    <mergeCell ref="B4:B6"/>
    <mergeCell ref="C8:D8"/>
    <mergeCell ref="O19:Q19"/>
    <mergeCell ref="H5:H7"/>
    <mergeCell ref="H8:H10"/>
    <mergeCell ref="H2:N2"/>
    <mergeCell ref="O4:O5"/>
    <mergeCell ref="P4:Q4"/>
    <mergeCell ref="P5:Q5"/>
    <mergeCell ref="C9:D9"/>
  </mergeCells>
  <conditionalFormatting sqref="C8:C9">
    <cfRule type="containsText" dxfId="30" priority="3" operator="containsText" text="Non-Spin">
      <formula>NOT(ISERROR(SEARCH("Non-Spin",C8)))</formula>
    </cfRule>
    <cfRule type="containsText" dxfId="29" priority="4" operator="containsText" text="ECRS">
      <formula>NOT(ISERROR(SEARCH("ECRS",C8)))</formula>
    </cfRule>
    <cfRule type="containsText" dxfId="28" priority="5" operator="containsText" text="QSE">
      <formula>NOT(ISERROR(SEARCH("QSE",C8)))</formula>
    </cfRule>
    <cfRule type="containsText" dxfId="27" priority="6" operator="containsText" text="must equal">
      <formula>NOT(ISERROR(SEARCH("must equal",C8)))</formula>
    </cfRule>
    <cfRule type="containsText" dxfId="26" priority="7" operator="containsText" text="balanced">
      <formula>NOT(ISERROR(SEARCH("balanced",C8)))</formula>
    </cfRule>
  </conditionalFormatting>
  <conditionalFormatting sqref="D17:D18">
    <cfRule type="containsText" dxfId="25" priority="18" operator="containsText" text="must equal">
      <formula>NOT(ISERROR(SEARCH("must equal",D17)))</formula>
    </cfRule>
    <cfRule type="containsText" dxfId="24" priority="19" operator="containsText" text="balanced">
      <formula>NOT(ISERROR(SEARCH("balanced",D17)))</formula>
    </cfRule>
  </conditionalFormatting>
  <conditionalFormatting sqref="F5">
    <cfRule type="expression" dxfId="23" priority="2">
      <formula>IF($F$5&gt;$D$5,1)</formula>
    </cfRule>
  </conditionalFormatting>
  <conditionalFormatting sqref="F6">
    <cfRule type="expression" dxfId="22" priority="1">
      <formula>IF($F$6&gt;$D$6,1)</formula>
    </cfRule>
  </conditionalFormatting>
  <conditionalFormatting sqref="H20:I20">
    <cfRule type="containsText" dxfId="21" priority="15" operator="containsText" text="overloaded">
      <formula>NOT(ISERROR(SEARCH("overloaded",H20)))</formula>
    </cfRule>
  </conditionalFormatting>
  <conditionalFormatting sqref="J19">
    <cfRule type="containsText" dxfId="20" priority="17" operator="containsText" text="overloaded">
      <formula>NOT(ISERROR(SEARCH("overloaded",J19)))</formula>
    </cfRule>
  </conditionalFormatting>
  <conditionalFormatting sqref="M18">
    <cfRule type="containsText" dxfId="19" priority="10" operator="containsText" text="must equal">
      <formula>NOT(ISERROR(SEARCH("must equal",M18)))</formula>
    </cfRule>
    <cfRule type="containsText" dxfId="18" priority="11" operator="containsText" text="balanced">
      <formula>NOT(ISERROR(SEARCH("balanced",M18)))</formula>
    </cfRule>
  </conditionalFormatting>
  <conditionalFormatting sqref="M20">
    <cfRule type="containsText" dxfId="17" priority="12" operator="containsText" text="QSE">
      <formula>NOT(ISERROR(SEARCH("QSE",M20)))</formula>
    </cfRule>
    <cfRule type="containsText" dxfId="16" priority="13" operator="containsText" text="must equal">
      <formula>NOT(ISERROR(SEARCH("must equal",M20)))</formula>
    </cfRule>
    <cfRule type="containsText" dxfId="15" priority="14" operator="containsText" text="balanced">
      <formula>NOT(ISERROR(SEARCH("balanced",M20)))</formula>
    </cfRule>
  </conditionalFormatting>
  <conditionalFormatting sqref="O4:O7">
    <cfRule type="containsText" dxfId="14" priority="35" operator="containsText" text="must equal">
      <formula>NOT(ISERROR(SEARCH("must equal",O4)))</formula>
    </cfRule>
    <cfRule type="containsText" dxfId="13" priority="36" operator="containsText" text="balanced">
      <formula>NOT(ISERROR(SEARCH("balanced",O4)))</formula>
    </cfRule>
  </conditionalFormatting>
  <conditionalFormatting sqref="O17 O19">
    <cfRule type="containsText" dxfId="12" priority="31" operator="containsText" text="must equal">
      <formula>NOT(ISERROR(SEARCH("must equal",O17)))</formula>
    </cfRule>
    <cfRule type="containsText" dxfId="11" priority="32" operator="containsText" text="balanced">
      <formula>NOT(ISERROR(SEARCH("balanced",O17)))</formula>
    </cfRule>
  </conditionalFormatting>
  <conditionalFormatting sqref="O19">
    <cfRule type="containsText" dxfId="10" priority="30" operator="containsText" text="QSE">
      <formula>NOT(ISERROR(SEARCH("QSE",O19)))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7363F-65B9-4367-A412-B35772B83615}">
  <sheetPr codeName="Sheet2"/>
  <dimension ref="A1:W35"/>
  <sheetViews>
    <sheetView zoomScale="90" zoomScaleNormal="90" workbookViewId="0"/>
  </sheetViews>
  <sheetFormatPr defaultRowHeight="14.45"/>
  <cols>
    <col min="1" max="1" width="6.5703125" customWidth="1"/>
    <col min="3" max="6" width="13.5703125" customWidth="1"/>
    <col min="7" max="7" width="7.140625" customWidth="1"/>
    <col min="8" max="14" width="13.5703125" customWidth="1"/>
    <col min="15" max="15" width="7.140625" customWidth="1"/>
    <col min="16" max="20" width="13.5703125" customWidth="1"/>
    <col min="21" max="21" width="14.5703125" style="3" customWidth="1"/>
    <col min="22" max="22" width="14.5703125" customWidth="1"/>
    <col min="23" max="23" width="80.85546875" customWidth="1"/>
  </cols>
  <sheetData>
    <row r="1" spans="1:2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9"/>
      <c r="V1" s="8"/>
      <c r="W1" s="8"/>
    </row>
    <row r="2" spans="1:23" ht="41.45" customHeight="1">
      <c r="A2" s="8"/>
      <c r="B2" s="8"/>
      <c r="C2" s="8"/>
      <c r="D2" s="8"/>
      <c r="E2" s="8"/>
      <c r="F2" s="8"/>
      <c r="G2" s="8"/>
      <c r="H2" s="73" t="s">
        <v>0</v>
      </c>
      <c r="I2" s="74"/>
      <c r="J2" s="74"/>
      <c r="K2" s="74"/>
      <c r="L2" s="74"/>
      <c r="M2" s="74"/>
      <c r="N2" s="74"/>
      <c r="O2" s="8"/>
      <c r="P2" s="8"/>
      <c r="Q2" s="8"/>
      <c r="R2" s="8"/>
      <c r="S2" s="8"/>
      <c r="T2" s="8"/>
      <c r="U2" s="9"/>
      <c r="V2" s="8"/>
      <c r="W2" s="8"/>
    </row>
    <row r="3" spans="1:23" ht="19.5" customHeight="1" thickBot="1">
      <c r="A3" s="8"/>
      <c r="B3" s="8"/>
      <c r="C3" s="8"/>
      <c r="D3" s="8"/>
      <c r="E3" s="8"/>
      <c r="F3" s="8"/>
      <c r="G3" s="7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  <c r="V3" s="8"/>
      <c r="W3" s="8"/>
    </row>
    <row r="4" spans="1:23" ht="51.95" customHeight="1" thickTop="1" thickBot="1">
      <c r="A4" s="8"/>
      <c r="B4" s="82" t="s">
        <v>1</v>
      </c>
      <c r="C4" s="72" t="s">
        <v>2</v>
      </c>
      <c r="D4" s="70" t="s">
        <v>3</v>
      </c>
      <c r="E4" s="35" t="s">
        <v>4</v>
      </c>
      <c r="F4" s="49" t="s">
        <v>5</v>
      </c>
      <c r="G4" s="8"/>
      <c r="H4" s="52" t="s">
        <v>6</v>
      </c>
      <c r="I4" s="2" t="s">
        <v>2</v>
      </c>
      <c r="J4" s="2" t="s">
        <v>7</v>
      </c>
      <c r="K4" s="2" t="s">
        <v>8</v>
      </c>
      <c r="L4" s="2" t="s">
        <v>3</v>
      </c>
      <c r="M4" s="2" t="s">
        <v>4</v>
      </c>
      <c r="N4" s="6" t="s">
        <v>9</v>
      </c>
      <c r="O4" s="75"/>
      <c r="P4" s="76" t="s">
        <v>10</v>
      </c>
      <c r="Q4" s="77"/>
      <c r="R4" s="2" t="s">
        <v>11</v>
      </c>
      <c r="S4" s="77" t="s">
        <v>12</v>
      </c>
      <c r="T4" s="77"/>
      <c r="U4" s="46" t="s">
        <v>13</v>
      </c>
      <c r="V4" s="6" t="s">
        <v>14</v>
      </c>
      <c r="W4" s="8"/>
    </row>
    <row r="5" spans="1:23" ht="27.6" customHeight="1" thickTop="1" thickBot="1">
      <c r="A5" s="8"/>
      <c r="B5" s="83"/>
      <c r="C5" s="36" t="s">
        <v>15</v>
      </c>
      <c r="D5" s="1">
        <v>8</v>
      </c>
      <c r="E5" s="37">
        <v>35</v>
      </c>
      <c r="F5" s="50">
        <f>N6+N9</f>
        <v>0</v>
      </c>
      <c r="G5" s="8"/>
      <c r="H5" s="86" t="s">
        <v>16</v>
      </c>
      <c r="I5" s="59" t="s">
        <v>17</v>
      </c>
      <c r="J5" s="59" t="s">
        <v>18</v>
      </c>
      <c r="K5" s="59" t="s">
        <v>19</v>
      </c>
      <c r="L5" s="59">
        <v>100</v>
      </c>
      <c r="M5" s="61">
        <v>20</v>
      </c>
      <c r="N5" s="62"/>
      <c r="O5" s="75"/>
      <c r="P5" s="78">
        <f>(N11*M11)+(N12*M12)+(F5*E5)+(F6*E6)</f>
        <v>0</v>
      </c>
      <c r="Q5" s="79"/>
      <c r="R5" s="4" t="s">
        <v>11</v>
      </c>
      <c r="S5" s="79">
        <f>(N5*M5)+(N6*M6)+(N7*M7)+(N8*M8)+(N9*M9)+(N10*M10)</f>
        <v>0</v>
      </c>
      <c r="T5" s="79"/>
      <c r="U5" s="47" t="s">
        <v>13</v>
      </c>
      <c r="V5" s="5">
        <f>P5-S5</f>
        <v>0</v>
      </c>
      <c r="W5" s="8"/>
    </row>
    <row r="6" spans="1:23" ht="27.6" customHeight="1" thickBot="1">
      <c r="A6" s="8"/>
      <c r="B6" s="84"/>
      <c r="C6" s="45" t="s">
        <v>20</v>
      </c>
      <c r="D6" s="39">
        <v>12</v>
      </c>
      <c r="E6" s="40">
        <v>15</v>
      </c>
      <c r="F6" s="51">
        <f>N7+N10</f>
        <v>0</v>
      </c>
      <c r="G6" s="8"/>
      <c r="H6" s="87"/>
      <c r="I6" s="25" t="s">
        <v>15</v>
      </c>
      <c r="J6" s="25" t="s">
        <v>18</v>
      </c>
      <c r="K6" s="29" t="s">
        <v>21</v>
      </c>
      <c r="L6" s="26">
        <v>10</v>
      </c>
      <c r="M6" s="27">
        <v>25</v>
      </c>
      <c r="N6" s="28"/>
      <c r="O6" s="68"/>
      <c r="P6" s="22"/>
      <c r="Q6" s="22"/>
      <c r="R6" s="23"/>
      <c r="S6" s="22"/>
      <c r="T6" s="22"/>
      <c r="U6" s="24"/>
      <c r="V6" s="22"/>
      <c r="W6" s="8"/>
    </row>
    <row r="7" spans="1:23" ht="27.6" customHeight="1" thickTop="1" thickBot="1">
      <c r="A7" s="8"/>
      <c r="B7" s="38"/>
      <c r="C7" s="41"/>
      <c r="D7" s="42"/>
      <c r="E7" s="43"/>
      <c r="F7" s="48"/>
      <c r="G7" s="8"/>
      <c r="H7" s="88"/>
      <c r="I7" s="20" t="s">
        <v>20</v>
      </c>
      <c r="J7" s="20" t="s">
        <v>18</v>
      </c>
      <c r="K7" s="29" t="s">
        <v>21</v>
      </c>
      <c r="L7" s="17">
        <v>20</v>
      </c>
      <c r="M7" s="54">
        <v>25</v>
      </c>
      <c r="N7" s="19"/>
      <c r="O7" s="68"/>
      <c r="P7" s="22"/>
      <c r="Q7" s="22"/>
      <c r="R7" s="23"/>
      <c r="S7" s="22"/>
      <c r="T7" s="22"/>
      <c r="U7" s="24"/>
      <c r="V7" s="22"/>
      <c r="W7" s="8"/>
    </row>
    <row r="8" spans="1:23" ht="27.6" customHeight="1" thickTop="1" thickBot="1">
      <c r="A8" s="8"/>
      <c r="B8" s="8"/>
      <c r="C8" s="80" t="str">
        <f>IF((N6+N9)&lt;D5,"ECRS not fulfilled","")</f>
        <v>ECRS not fulfilled</v>
      </c>
      <c r="D8" s="81"/>
      <c r="E8" s="44"/>
      <c r="F8" s="71"/>
      <c r="G8" s="8"/>
      <c r="H8" s="89" t="s">
        <v>22</v>
      </c>
      <c r="I8" s="56" t="s">
        <v>17</v>
      </c>
      <c r="J8" s="56" t="s">
        <v>18</v>
      </c>
      <c r="K8" s="56" t="s">
        <v>23</v>
      </c>
      <c r="L8" s="56">
        <v>60</v>
      </c>
      <c r="M8" s="57">
        <v>30</v>
      </c>
      <c r="N8" s="58"/>
      <c r="O8" s="8"/>
      <c r="P8" s="72" t="s">
        <v>24</v>
      </c>
      <c r="Q8" s="70" t="s">
        <v>25</v>
      </c>
      <c r="R8" s="70" t="s">
        <v>26</v>
      </c>
      <c r="S8" s="35" t="s">
        <v>27</v>
      </c>
      <c r="T8" s="31"/>
      <c r="U8" s="53" t="s">
        <v>28</v>
      </c>
      <c r="V8" s="35" t="s">
        <v>29</v>
      </c>
      <c r="W8" s="8"/>
    </row>
    <row r="9" spans="1:23" ht="27.6" customHeight="1" thickTop="1" thickBot="1">
      <c r="A9" s="8"/>
      <c r="B9" s="8"/>
      <c r="C9" s="80" t="str">
        <f>IF((N7+N10)&lt;D6,"Non-Spin not fulfilled","")</f>
        <v>Non-Spin not fulfilled</v>
      </c>
      <c r="D9" s="81"/>
      <c r="E9" s="8"/>
      <c r="F9" s="68"/>
      <c r="G9" s="8"/>
      <c r="H9" s="90"/>
      <c r="I9" s="21" t="s">
        <v>15</v>
      </c>
      <c r="J9" s="21" t="s">
        <v>18</v>
      </c>
      <c r="K9" s="11" t="s">
        <v>21</v>
      </c>
      <c r="L9" s="11">
        <v>20</v>
      </c>
      <c r="M9" s="12">
        <v>15</v>
      </c>
      <c r="N9" s="14"/>
      <c r="O9" s="8"/>
      <c r="P9" s="15"/>
      <c r="Q9" s="30"/>
      <c r="R9" s="30"/>
      <c r="S9" s="30"/>
      <c r="T9" s="32"/>
      <c r="U9" s="34"/>
      <c r="V9" s="33"/>
      <c r="W9" s="8"/>
    </row>
    <row r="10" spans="1:23" ht="27.6" customHeight="1" thickTop="1" thickBot="1">
      <c r="A10" s="8"/>
      <c r="B10" s="8"/>
      <c r="C10" s="8"/>
      <c r="D10" s="8"/>
      <c r="E10" s="8"/>
      <c r="F10" s="8"/>
      <c r="G10" s="8"/>
      <c r="H10" s="91"/>
      <c r="I10" s="21" t="s">
        <v>20</v>
      </c>
      <c r="J10" s="21" t="s">
        <v>18</v>
      </c>
      <c r="K10" s="11" t="s">
        <v>21</v>
      </c>
      <c r="L10" s="11">
        <v>10</v>
      </c>
      <c r="M10" s="55">
        <v>5</v>
      </c>
      <c r="N10" s="14"/>
      <c r="O10" s="8"/>
      <c r="P10" s="8"/>
      <c r="Q10" s="8"/>
      <c r="R10" s="8"/>
      <c r="S10" s="8"/>
      <c r="T10" s="8"/>
      <c r="U10" s="9"/>
      <c r="V10" s="8"/>
      <c r="W10" s="8"/>
    </row>
    <row r="11" spans="1:23" ht="27.6" customHeight="1" thickBot="1">
      <c r="A11" s="8"/>
      <c r="B11" s="8"/>
      <c r="C11" s="8"/>
      <c r="D11" s="8"/>
      <c r="E11" s="8"/>
      <c r="F11" s="8"/>
      <c r="G11" s="8"/>
      <c r="H11" s="10" t="s">
        <v>30</v>
      </c>
      <c r="I11" s="60" t="s">
        <v>17</v>
      </c>
      <c r="J11" s="60" t="s">
        <v>31</v>
      </c>
      <c r="K11" s="60" t="s">
        <v>32</v>
      </c>
      <c r="L11" s="60">
        <v>90</v>
      </c>
      <c r="M11" s="63">
        <v>40</v>
      </c>
      <c r="N11" s="64"/>
      <c r="O11" s="8"/>
      <c r="P11" s="8"/>
      <c r="Q11" s="8"/>
      <c r="R11" s="8"/>
      <c r="S11" s="8"/>
      <c r="T11" s="8"/>
      <c r="U11" s="9"/>
      <c r="V11" s="8"/>
      <c r="W11" s="8"/>
    </row>
    <row r="12" spans="1:23" ht="27.6" customHeight="1" thickBot="1">
      <c r="A12" s="8"/>
      <c r="B12" s="8"/>
      <c r="C12" s="8"/>
      <c r="D12" s="8"/>
      <c r="E12" s="8"/>
      <c r="F12" s="8"/>
      <c r="G12" s="8"/>
      <c r="H12" s="13" t="s">
        <v>33</v>
      </c>
      <c r="I12" s="65" t="s">
        <v>34</v>
      </c>
      <c r="J12" s="65" t="s">
        <v>31</v>
      </c>
      <c r="K12" s="65" t="s">
        <v>35</v>
      </c>
      <c r="L12" s="65">
        <v>30</v>
      </c>
      <c r="M12" s="66">
        <v>20</v>
      </c>
      <c r="N12" s="67"/>
      <c r="O12" s="8"/>
      <c r="P12" s="8"/>
      <c r="Q12" s="8"/>
      <c r="R12" s="8"/>
      <c r="S12" s="8"/>
      <c r="T12" s="8"/>
      <c r="U12" s="9"/>
      <c r="V12" s="8"/>
      <c r="W12" s="8"/>
    </row>
    <row r="13" spans="1:23" ht="30" customHeight="1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9"/>
      <c r="V13" s="8"/>
      <c r="W13" s="8"/>
    </row>
    <row r="14" spans="1:2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9"/>
      <c r="V14" s="8"/>
      <c r="W14" s="8"/>
    </row>
    <row r="15" spans="1:2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9"/>
      <c r="V15" s="8"/>
      <c r="W15" s="8"/>
    </row>
    <row r="16" spans="1:23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9"/>
      <c r="V16" s="8"/>
      <c r="W16" s="8"/>
    </row>
    <row r="17" spans="1:23" ht="54.95" customHeight="1">
      <c r="A17" s="8"/>
      <c r="B17" s="8"/>
      <c r="C17" s="8"/>
      <c r="D17" s="69"/>
      <c r="E17" s="8"/>
      <c r="F17" s="68"/>
      <c r="G17" s="8"/>
      <c r="H17" s="8"/>
      <c r="I17" s="8"/>
      <c r="J17" s="8"/>
      <c r="K17" s="8"/>
      <c r="L17" s="8"/>
      <c r="M17" s="8"/>
      <c r="N17" s="8"/>
      <c r="O17" s="75"/>
      <c r="P17" s="85"/>
      <c r="Q17" s="85"/>
      <c r="R17" s="8"/>
      <c r="S17" s="8"/>
      <c r="T17" s="8"/>
      <c r="U17" s="9"/>
      <c r="V17" s="8"/>
      <c r="W17" s="8"/>
    </row>
    <row r="18" spans="1:23" ht="69.95" customHeight="1">
      <c r="A18" s="8"/>
      <c r="B18" s="8"/>
      <c r="C18" s="8"/>
      <c r="D18" s="68"/>
      <c r="E18" s="8"/>
      <c r="F18" s="68"/>
      <c r="G18" s="8"/>
      <c r="H18" s="8"/>
      <c r="I18" s="8"/>
      <c r="J18" s="8"/>
      <c r="K18" s="8"/>
      <c r="L18" s="8"/>
      <c r="M18" s="75" t="str">
        <f>IF(N5+N8=N11,"Power is balanced","Cleared Energy Offers must equal cleared Energy Bids")</f>
        <v>Power is balanced</v>
      </c>
      <c r="N18" s="85"/>
      <c r="O18" s="16"/>
      <c r="P18" s="68"/>
      <c r="Q18" s="68"/>
      <c r="R18" s="8"/>
      <c r="S18" s="8"/>
      <c r="T18" s="8"/>
      <c r="U18" s="9"/>
      <c r="V18" s="8"/>
      <c r="W18" s="8"/>
    </row>
    <row r="19" spans="1:23" ht="48.95" customHeight="1">
      <c r="A19" s="8"/>
      <c r="B19" s="8"/>
      <c r="C19" s="8"/>
      <c r="D19" s="8"/>
      <c r="E19" s="8"/>
      <c r="F19" s="8"/>
      <c r="G19" s="8"/>
      <c r="H19" s="8"/>
      <c r="I19" s="8"/>
      <c r="J19" s="16"/>
      <c r="K19" s="16"/>
      <c r="L19" s="68"/>
      <c r="M19" s="8"/>
      <c r="N19" s="8"/>
      <c r="O19" s="75"/>
      <c r="P19" s="85"/>
      <c r="Q19" s="85"/>
      <c r="R19" s="8"/>
      <c r="S19" s="8"/>
      <c r="T19" s="8"/>
      <c r="U19" s="9"/>
      <c r="V19" s="8"/>
      <c r="W19" s="8"/>
    </row>
    <row r="20" spans="1:23" ht="45" customHeight="1">
      <c r="A20" s="8"/>
      <c r="B20" s="8"/>
      <c r="C20" s="8"/>
      <c r="D20" s="8"/>
      <c r="E20" s="8"/>
      <c r="F20" s="8"/>
      <c r="G20" s="8"/>
      <c r="H20" s="16"/>
      <c r="I20" s="85" t="str">
        <f>IF((N5+N12)&gt;100,"A to B path is overloaded","")</f>
        <v/>
      </c>
      <c r="J20" s="85"/>
      <c r="K20" s="68"/>
      <c r="L20" s="8"/>
      <c r="M20" s="75" t="str">
        <f>IF(N11&gt;90,"QSE 3 only wants 90MW","")</f>
        <v/>
      </c>
      <c r="N20" s="85"/>
      <c r="O20" s="16"/>
      <c r="P20" s="8"/>
      <c r="Q20" s="8"/>
      <c r="R20" s="8"/>
      <c r="S20" s="8"/>
      <c r="T20" s="8"/>
      <c r="U20" s="9"/>
      <c r="V20" s="8"/>
      <c r="W20" s="8"/>
    </row>
    <row r="21" spans="1:23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  <c r="V21" s="8"/>
      <c r="W21" s="8"/>
    </row>
    <row r="22" spans="1:23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9"/>
      <c r="V22" s="8"/>
      <c r="W22" s="8"/>
    </row>
    <row r="23" spans="1:23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9"/>
      <c r="V23" s="8"/>
      <c r="W23" s="8"/>
    </row>
    <row r="24" spans="1:2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9"/>
      <c r="V24" s="8"/>
      <c r="W24" s="8"/>
    </row>
    <row r="25" spans="1:2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9"/>
      <c r="V25" s="8"/>
      <c r="W25" s="8"/>
    </row>
    <row r="26" spans="1:2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9"/>
      <c r="V26" s="8"/>
      <c r="W26" s="8"/>
    </row>
    <row r="27" spans="1:2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9"/>
      <c r="V27" s="8"/>
      <c r="W27" s="8"/>
    </row>
    <row r="28" spans="1:2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9"/>
      <c r="V28" s="8"/>
      <c r="W28" s="8"/>
    </row>
    <row r="29" spans="1:2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9"/>
      <c r="V29" s="8"/>
      <c r="W29" s="8"/>
    </row>
    <row r="30" spans="1:2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9"/>
      <c r="V30" s="8"/>
      <c r="W30" s="8"/>
    </row>
    <row r="31" spans="1:2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9"/>
      <c r="V31" s="8"/>
      <c r="W31" s="8"/>
    </row>
    <row r="32" spans="1:2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9"/>
      <c r="V32" s="8"/>
      <c r="W32" s="8"/>
    </row>
    <row r="33" spans="1:2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9"/>
      <c r="V33" s="8"/>
      <c r="W33" s="8"/>
    </row>
    <row r="34" spans="1:2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9"/>
      <c r="V34" s="8"/>
      <c r="W34" s="8"/>
    </row>
    <row r="35" spans="1:23" ht="162.6" customHeigh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9"/>
      <c r="V35" s="8"/>
      <c r="W35" s="8"/>
    </row>
  </sheetData>
  <mergeCells count="16">
    <mergeCell ref="I20:J20"/>
    <mergeCell ref="M20:N20"/>
    <mergeCell ref="C8:D8"/>
    <mergeCell ref="H8:H10"/>
    <mergeCell ref="C9:D9"/>
    <mergeCell ref="M18:N18"/>
    <mergeCell ref="O19:Q19"/>
    <mergeCell ref="H2:N2"/>
    <mergeCell ref="B4:B6"/>
    <mergeCell ref="O4:O5"/>
    <mergeCell ref="P4:Q4"/>
    <mergeCell ref="S4:T4"/>
    <mergeCell ref="H5:H7"/>
    <mergeCell ref="P5:Q5"/>
    <mergeCell ref="S5:T5"/>
    <mergeCell ref="O17:Q17"/>
  </mergeCells>
  <conditionalFormatting sqref="C8">
    <cfRule type="containsText" dxfId="9" priority="8" operator="containsText" text="ECRS">
      <formula>NOT(ISERROR(SEARCH("ECRS",C8)))</formula>
    </cfRule>
  </conditionalFormatting>
  <conditionalFormatting sqref="C9">
    <cfRule type="containsText" dxfId="8" priority="7" operator="containsText" text="Non-Spin">
      <formula>NOT(ISERROR(SEARCH("Non-Spin",C9)))</formula>
    </cfRule>
  </conditionalFormatting>
  <conditionalFormatting sqref="F5">
    <cfRule type="expression" dxfId="7" priority="1">
      <formula>IF($F$5&gt;$D$5,1)</formula>
    </cfRule>
  </conditionalFormatting>
  <conditionalFormatting sqref="F6">
    <cfRule type="expression" dxfId="6" priority="2">
      <formula>IF($F$6&gt;$D$6,1)</formula>
    </cfRule>
  </conditionalFormatting>
  <conditionalFormatting sqref="H20:I20">
    <cfRule type="containsText" dxfId="5" priority="17" operator="containsText" text="overloaded">
      <formula>NOT(ISERROR(SEARCH("overloaded",H20)))</formula>
    </cfRule>
  </conditionalFormatting>
  <conditionalFormatting sqref="L10">
    <cfRule type="expression" dxfId="4" priority="3">
      <formula>IF($N$10&gt;$L$10,1)</formula>
    </cfRule>
  </conditionalFormatting>
  <conditionalFormatting sqref="M7">
    <cfRule type="expression" dxfId="3" priority="38">
      <formula>AND(IF($M$7&gt;$E$6,1),IF($N$7&lt;&gt;0,1))</formula>
    </cfRule>
  </conditionalFormatting>
  <conditionalFormatting sqref="M18">
    <cfRule type="containsText" dxfId="2" priority="12" operator="containsText" text="must equal">
      <formula>NOT(ISERROR(SEARCH("must equal",M18)))</formula>
    </cfRule>
    <cfRule type="containsText" dxfId="1" priority="13" operator="containsText" text="balanced">
      <formula>NOT(ISERROR(SEARCH("balanced",M18)))</formula>
    </cfRule>
  </conditionalFormatting>
  <conditionalFormatting sqref="M20">
    <cfRule type="containsText" dxfId="0" priority="14" operator="containsText" text="QSE">
      <formula>NOT(ISERROR(SEARCH("QSE",M20)))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PreviousEnergyAwards">
                <anchor moveWithCells="1" sizeWithCells="1">
                  <from>
                    <xdr:col>15</xdr:col>
                    <xdr:colOff>25400</xdr:colOff>
                    <xdr:row>10</xdr:row>
                    <xdr:rowOff>234950</xdr:rowOff>
                  </from>
                  <to>
                    <xdr:col>17</xdr:col>
                    <xdr:colOff>412750</xdr:colOff>
                    <xdr:row>11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aterial xmlns="dccf9480-42d9-4621-8df4-d3033bed282e">Document</Material>
    <Class xmlns="dccf9480-42d9-4621-8df4-d3033bed282e">ILT</Class>
    <File xmlns="dccf9480-42d9-4621-8df4-d3033bed282e">Word Document</File>
    <Information_x0020_Classification xmlns="dccf9480-42d9-4621-8df4-d3033bed282e">ERCOT Limited</Information_x0020_Classification>
  </documentManagement>
</p:properties>
</file>

<file path=customXml/item2.xml><?xml version="1.0" encoding="utf-8"?>
<?mso-contentType ?>
<FormTemplates xmlns="http://schemas.microsoft.com/sharepoint/v3/contenttype/form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FD556761BE4148A00583EDA866D08F" ma:contentTypeVersion="17" ma:contentTypeDescription="Create a new document." ma:contentTypeScope="" ma:versionID="4fe1451a3fbe84ab72e4037df0f87999">
  <xsd:schema xmlns:xsd="http://www.w3.org/2001/XMLSchema" xmlns:xs="http://www.w3.org/2001/XMLSchema" xmlns:p="http://schemas.microsoft.com/office/2006/metadata/properties" xmlns:ns2="dccf9480-42d9-4621-8df4-d3033bed282e" xmlns:ns3="60b9b503-ac1c-4447-bad9-163383a9d848" targetNamespace="http://schemas.microsoft.com/office/2006/metadata/properties" ma:root="true" ma:fieldsID="e99ff2176ef56a953e9a242b7fee25cb" ns2:_="" ns3:_="">
    <xsd:import namespace="dccf9480-42d9-4621-8df4-d3033bed282e"/>
    <xsd:import namespace="60b9b503-ac1c-4447-bad9-163383a9d848"/>
    <xsd:element name="properties">
      <xsd:complexType>
        <xsd:sequence>
          <xsd:element name="documentManagement">
            <xsd:complexType>
              <xsd:all>
                <xsd:element ref="ns2:Information_x0020_Classification" minOccurs="0"/>
                <xsd:element ref="ns2:Class" minOccurs="0"/>
                <xsd:element ref="ns2:Material" minOccurs="0"/>
                <xsd:element ref="ns2:File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cf9480-42d9-4621-8df4-d3033bed282e" elementFormDefault="qualified">
    <xsd:import namespace="http://schemas.microsoft.com/office/2006/documentManagement/types"/>
    <xsd:import namespace="http://schemas.microsoft.com/office/infopath/2007/PartnerControls"/>
    <xsd:element name="Information_x0020_Classification" ma:index="4" nillable="true" ma:displayName="Information Classification" ma:default="ERCOT Limited" ma:description="ERCOT Information Classification" ma:format="Dropdown" ma:internalName="Information_x0020_Classification" ma:readOnly="false">
      <xsd:simpleType>
        <xsd:union memberTypes="dms:Text">
          <xsd:simpleType>
            <xsd:restriction base="dms:Choice">
              <xsd:enumeration value="Public"/>
              <xsd:enumeration value="ERCOT Limited"/>
              <xsd:enumeration value="ERCOT Confidential"/>
              <xsd:enumeration value="ERCOT Restricted"/>
            </xsd:restriction>
          </xsd:simpleType>
        </xsd:union>
      </xsd:simpleType>
    </xsd:element>
    <xsd:element name="Class" ma:index="9" nillable="true" ma:displayName="Class" ma:default="ILT" ma:format="Dropdown" ma:internalName="Class">
      <xsd:simpleType>
        <xsd:union memberTypes="dms:Text">
          <xsd:simpleType>
            <xsd:restriction base="dms:Choice">
              <xsd:enumeration value="ILT"/>
              <xsd:enumeration value="WBT"/>
              <xsd:enumeration value="Brown Bag"/>
            </xsd:restriction>
          </xsd:simpleType>
        </xsd:union>
      </xsd:simpleType>
    </xsd:element>
    <xsd:element name="Material" ma:index="10" nillable="true" ma:displayName="Material" ma:default="Document" ma:format="Dropdown" ma:internalName="Material">
      <xsd:simpleType>
        <xsd:union memberTypes="dms:Text">
          <xsd:simpleType>
            <xsd:restriction base="dms:Choice">
              <xsd:enumeration value="Classroom Tools"/>
              <xsd:enumeration value="Document"/>
              <xsd:enumeration value="Graphic"/>
              <xsd:enumeration value="Handout"/>
              <xsd:enumeration value="Outline"/>
              <xsd:enumeration value="Script"/>
              <xsd:enumeration value="Resource"/>
              <xsd:enumeration value="Video"/>
            </xsd:restriction>
          </xsd:simpleType>
        </xsd:union>
      </xsd:simpleType>
    </xsd:element>
    <xsd:element name="File" ma:index="11" nillable="true" ma:displayName="File" ma:default="Word Document" ma:format="Dropdown" ma:internalName="File">
      <xsd:simpleType>
        <xsd:union memberTypes="dms:Text">
          <xsd:simpleType>
            <xsd:restriction base="dms:Choice">
              <xsd:enumeration value="Excel"/>
              <xsd:enumeration value="PowerPoint"/>
              <xsd:enumeration value="Word Document"/>
              <xsd:enumeration value="PDF"/>
              <xsd:enumeration value="Photoshop"/>
              <xsd:enumeration value="Illustrator"/>
              <xsd:enumeration value="Storyline"/>
              <xsd:enumeration value="MP4"/>
              <xsd:enumeration value="JPG"/>
              <xsd:enumeration value="PNG"/>
            </xsd:restriction>
          </xsd:simpleType>
        </xsd:un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b9b503-ac1c-4447-bad9-163383a9d8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29B776-2C01-4867-8E6E-0E7F9E65A98C}"/>
</file>

<file path=customXml/itemProps2.xml><?xml version="1.0" encoding="utf-8"?>
<ds:datastoreItem xmlns:ds="http://schemas.openxmlformats.org/officeDocument/2006/customXml" ds:itemID="{2E799814-E033-4A4F-A41B-7A4D142F8B9A}"/>
</file>

<file path=customXml/itemProps3.xml><?xml version="1.0" encoding="utf-8"?>
<ds:datastoreItem xmlns:ds="http://schemas.openxmlformats.org/officeDocument/2006/customXml" ds:itemID="{D610E71D-A815-4665-959B-FE14500F1A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The Electric Reliability Council of Texas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Kettlewell, Bill</dc:creator>
  <cp:keywords/>
  <dc:description/>
  <cp:lastModifiedBy>Kettlewell, Bill</cp:lastModifiedBy>
  <cp:revision/>
  <dcterms:created xsi:type="dcterms:W3CDTF">2020-05-01T16:00:11Z</dcterms:created>
  <dcterms:modified xsi:type="dcterms:W3CDTF">2025-08-27T14:18:55Z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084cbda-52b8-46fb-a7b7-cb5bd465ed85_Enabled">
    <vt:lpwstr>true</vt:lpwstr>
  </property>
  <property fmtid="{D5CDD505-2E9C-101B-9397-08002B2CF9AE}" pid="3" name="MSIP_Label_7084cbda-52b8-46fb-a7b7-cb5bd465ed85_SetDate">
    <vt:lpwstr>2025-01-08T17:19:01Z</vt:lpwstr>
  </property>
  <property fmtid="{D5CDD505-2E9C-101B-9397-08002B2CF9AE}" pid="4" name="MSIP_Label_7084cbda-52b8-46fb-a7b7-cb5bd465ed85_Method">
    <vt:lpwstr>Standard</vt:lpwstr>
  </property>
  <property fmtid="{D5CDD505-2E9C-101B-9397-08002B2CF9AE}" pid="5" name="MSIP_Label_7084cbda-52b8-46fb-a7b7-cb5bd465ed85_Name">
    <vt:lpwstr>Internal</vt:lpwstr>
  </property>
  <property fmtid="{D5CDD505-2E9C-101B-9397-08002B2CF9AE}" pid="6" name="MSIP_Label_7084cbda-52b8-46fb-a7b7-cb5bd465ed85_SiteId">
    <vt:lpwstr>0afb747d-bff7-4596-a9fc-950ef9e0ec45</vt:lpwstr>
  </property>
  <property fmtid="{D5CDD505-2E9C-101B-9397-08002B2CF9AE}" pid="7" name="MSIP_Label_7084cbda-52b8-46fb-a7b7-cb5bd465ed85_ActionId">
    <vt:lpwstr>bd682a80-fbc1-4894-a269-d29220243ceb</vt:lpwstr>
  </property>
  <property fmtid="{D5CDD505-2E9C-101B-9397-08002B2CF9AE}" pid="8" name="MSIP_Label_7084cbda-52b8-46fb-a7b7-cb5bd465ed85_ContentBits">
    <vt:lpwstr>0</vt:lpwstr>
  </property>
  <property fmtid="{D5CDD505-2E9C-101B-9397-08002B2CF9AE}" pid="9" name="ContentTypeId">
    <vt:lpwstr>0x0101007AFD556761BE4148A00583EDA866D08F</vt:lpwstr>
  </property>
</Properties>
</file>